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Run budget" sheetId="2" r:id="rId2"/>
    <sheet name="Parallel screen" sheetId="3" r:id="rId3"/>
    <sheet name="Agent cadence" sheetId="4" r:id="rId4"/>
    <sheet name="Memory fit" sheetId="5" r:id="rId5"/>
    <sheet name="Sources" sheetId="6" r:id="rId6"/>
  </sheets>
  <definedNames>
    <definedName name="_xlnm._FilterDatabase" localSheetId="2" hidden="1">'Parallel screen'!$A$20:$G$40</definedName>
    <definedName name="_xlnm._FilterDatabase" localSheetId="5" hidden="1">Sources!$A$3:$F$9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4" authorId="0">
      <text>
        <r>
          <rPr>
            <sz val="8"/>
            <color indexed="81"/>
            <rFont val="Tahoma"/>
            <family val="2"/>
          </rPr>
          <t>S1: TACC Stampede3 guide, accessed 2026-09-12. https://docs.tacc.utexas.edu/hpc/stampede3/</t>
        </r>
      </text>
    </comment>
    <comment ref="B5" authorId="0">
      <text>
        <r>
          <rPr>
            <sz val="8"/>
            <color indexed="81"/>
            <rFont val="Tahoma"/>
            <family val="2"/>
          </rPr>
          <t>S1: charging equation includes a 0.25-hour minimum per job. https://docs.tacc.utexas.edu/hpc/stampede3/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4" authorId="0">
      <text>
        <r>
          <rPr>
            <sz val="8"/>
            <color indexed="81"/>
            <rFont val="Tahoma"/>
            <family val="2"/>
          </rPr>
          <t>A benchmark record must state model/tokenizer revisions, backend/driver, replica configuration, input/output lengths, latency distribution, failures, and total wall time.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" authorId="0">
      <text>
        <r>
          <rPr>
            <sz val="8"/>
            <color indexed="81"/>
            <rFont val="Tahoma"/>
            <family val="2"/>
          </rPr>
          <t>S2: hypothetical accounting inputs, selected to make the formula inspectable. Not model specifications.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S1 documents physical GPU/tile memory, which is not substituted for an actual framework-visible allocatable limit. https://docs.tacc.utexas.edu/hpc/stampede3/</t>
        </r>
      </text>
    </comment>
  </commentList>
</comments>
</file>

<file path=xl/sharedStrings.xml><?xml version="1.0" encoding="utf-8"?>
<sst xmlns="http://schemas.openxmlformats.org/spreadsheetml/2006/main" count="303" uniqueCount="226">
  <si>
    <t>Stampede3 community capacity</t>
  </si>
  <si>
    <t>Item</t>
  </si>
  <si>
    <t>Meaning</t>
  </si>
  <si>
    <t>Status</t>
  </si>
  <si>
    <t>Research planning artifact, September 12, 2026. No Stampede3 benchmark, allocation entitlement, or deployment is represented.</t>
  </si>
  <si>
    <t>Editable inputs</t>
  </si>
  <si>
    <t>Blue cells are editable. Throughput and available device-memory inputs are intentionally blank. Their dependent capacity estimates remain pending.</t>
  </si>
  <si>
    <t>Run budget</t>
  </si>
  <si>
    <t>Parallel campaign budget: 110 allocated node-hours, including continuing-community nodes and idle wave capacity. Reserve is 20% of the total budget. Queue waits are separate.</t>
  </si>
  <si>
    <t>Parallel screen</t>
  </si>
  <si>
    <t>16 factorial cells plus four serial references. Editable node/slot assumptions show elapsed compute time and billed node-hours; this is a draft schedule, not a Slurm submission.</t>
  </si>
  <si>
    <t>Agent cadence</t>
  </si>
  <si>
    <t>Population means persistent agents receiving turns at a target interval. It is not a count of simultaneous GPU requests or model replicas.</t>
  </si>
  <si>
    <t>Measured rate</t>
  </si>
  <si>
    <t>Measure the whole serving pool at the target prompt/output mix and acceptable latency. Include real memory/review traffic in calls per turn. Do not extrapolate linearly across nodes.</t>
  </si>
  <si>
    <t>Memory fit</t>
  </si>
  <si>
    <t>A hypothetical conventional dense-transformer calculation. Parameter count and KV layout are examples, not a selected model. A memory bound is not measured serving concurrency.</t>
  </si>
  <si>
    <t>Separate budgets</t>
  </si>
  <si>
    <t>The report also proposes 20% of research turns for discretionary exploration. That is independent of the SU reserve and the serving-capacity factor.</t>
  </si>
  <si>
    <t>Formula caches</t>
  </si>
  <si>
    <t>Initial cached values are included for viewers. Excel/LibreOffice recalculate on edit. The generator makes no network calls and changes only its sibling XLSX file.</t>
  </si>
  <si>
    <t>Companion report</t>
  </si>
  <si>
    <t>2026-09-12-stampede3-research-community.md contains the evidence, architecture, experimental design, source versions, and unresolved decisions.</t>
  </si>
  <si>
    <t>Reproduce</t>
  </si>
  <si>
    <t>Run python3 2026-09-12-stampede3-capacity.py with xlsxwriter available. This is not a cluster launch script.</t>
  </si>
  <si>
    <t>Allocation budget — proposed use</t>
  </si>
  <si>
    <t>Input</t>
  </si>
  <si>
    <t>Value</t>
  </si>
  <si>
    <t>Unit</t>
  </si>
  <si>
    <t>Basis</t>
  </si>
  <si>
    <t>PVC charge rate</t>
  </si>
  <si>
    <t>SU / node-hour</t>
  </si>
  <si>
    <t>Documented</t>
  </si>
  <si>
    <t>Source S1; verify current allocation accounting.</t>
  </si>
  <si>
    <t>Minimum billed job duration</t>
  </si>
  <si>
    <t>hours</t>
  </si>
  <si>
    <t>Applies to each started job.</t>
  </si>
  <si>
    <t>Reserve / total requested budget</t>
  </si>
  <si>
    <t>fraction</t>
  </si>
  <si>
    <t>Assumption</t>
  </si>
  <si>
    <t>Reserve covers retries and additional checks; not a guarantee.</t>
  </si>
  <si>
    <t>Available SU</t>
  </si>
  <si>
    <t>SU</t>
  </si>
  <si>
    <t>Unknown</t>
  </si>
  <si>
    <t>Enter confirmed allocation balance; do not infer from machine size.</t>
  </si>
  <si>
    <t>Stage</t>
  </si>
  <si>
    <t>Nodes</t>
  </si>
  <si>
    <t>Hours per job</t>
  </si>
  <si>
    <t>Node-hours</t>
  </si>
  <si>
    <t>Proposed purpose</t>
  </si>
  <si>
    <t>Parallel readiness</t>
  </si>
  <si>
    <t>Independent inference and memory/recovery probes</t>
  </si>
  <si>
    <t>Opening comparisons</t>
  </si>
  <si>
    <t>Three comparison nodes plus one continuing community; includes final idle slot</t>
  </si>
  <si>
    <t>Targeted diagnostics</t>
  </si>
  <si>
    <t>Up to six comparison slots plus continuing community</t>
  </si>
  <si>
    <t>Replication</t>
  </si>
  <si>
    <t>Up to twelve comparison slots plus continuing community</t>
  </si>
  <si>
    <t>Community extension</t>
  </si>
  <si>
    <t>Longer research and observation</t>
  </si>
  <si>
    <t>Synthesis and replay</t>
  </si>
  <si>
    <t>Source review and selected interventions</t>
  </si>
  <si>
    <t>Export and restore</t>
  </si>
  <si>
    <t>Durable state and restore</t>
  </si>
  <si>
    <t>Planned total</t>
  </si>
  <si>
    <t>Requested total including reserve</t>
  </si>
  <si>
    <t>Reserve in SU</t>
  </si>
  <si>
    <t>Balance after requested total</t>
  </si>
  <si>
    <t>Stages are editable allocation envelopes and may exchange slots. Every started job has its own minimum charge. The opening row follows Parallel screen inputs; other stages are independent budget assumptions. This does not guarantee a full sample or reservation.</t>
  </si>
  <si>
    <t>Arithmetic envelope</t>
  </si>
  <si>
    <t>Total hours</t>
  </si>
  <si>
    <t>Continuous week, multiple jobs</t>
  </si>
  <si>
    <t>Arithmetic only; not one valid job or a reservation.</t>
  </si>
  <si>
    <t>Parallel comparison schedule</t>
  </si>
  <si>
    <t>Input / result</t>
  </si>
  <si>
    <t>Comparison nodes</t>
  </si>
  <si>
    <t>nodes</t>
  </si>
  <si>
    <t>Independent node-local cells; lower when allocation is smaller.</t>
  </si>
  <si>
    <t>Community nodes</t>
  </si>
  <si>
    <t>Separate continuing community; can be zero in a reduced schedule.</t>
  </si>
  <si>
    <t>Slot duration</t>
  </si>
  <si>
    <t>Hypothetical time box including initialization and snapshot.</t>
  </si>
  <si>
    <t>Factorial cells</t>
  </si>
  <si>
    <t>cells</t>
  </si>
  <si>
    <t>Individual/shared booleans × populations 32/128 × request caps 4/16.</t>
  </si>
  <si>
    <t>Serial references</t>
  </si>
  <si>
    <t>One agent and one in-flight request for each individual/shared memory condition.</t>
  </si>
  <si>
    <t>Number of waves</t>
  </si>
  <si>
    <t>Compute window</t>
  </si>
  <si>
    <t>hours; excludes queue waits</t>
  </si>
  <si>
    <t>Allocated node-hours</t>
  </si>
  <si>
    <t>Opening SU</t>
  </si>
  <si>
    <t>Node-limit check</t>
  </si>
  <si>
    <t>Draft interleaving; rotate nodes/order for follow-up seeds. Same model, precision, context limits, and placement across the screen. Do not infer statistical significance from one seed per cell. Request caps are not GPU counts. No measurements are represented.</t>
  </si>
  <si>
    <t>Cell</t>
  </si>
  <si>
    <t>Individual</t>
  </si>
  <si>
    <t>Shared</t>
  </si>
  <si>
    <t>Population</t>
  </si>
  <si>
    <t>Request cap</t>
  </si>
  <si>
    <t>Wave</t>
  </si>
  <si>
    <t>Logical comparison node / role</t>
  </si>
  <si>
    <t>screen-01</t>
  </si>
  <si>
    <t>on</t>
  </si>
  <si>
    <t>screen-02</t>
  </si>
  <si>
    <t>off</t>
  </si>
  <si>
    <t>screen-03</t>
  </si>
  <si>
    <t>screen-04</t>
  </si>
  <si>
    <t>screen-05</t>
  </si>
  <si>
    <t>screen-06</t>
  </si>
  <si>
    <t>screen-07</t>
  </si>
  <si>
    <t>screen-08</t>
  </si>
  <si>
    <t>screen-09</t>
  </si>
  <si>
    <t>screen-10</t>
  </si>
  <si>
    <t>screen-11</t>
  </si>
  <si>
    <t>screen-12</t>
  </si>
  <si>
    <t>screen-13</t>
  </si>
  <si>
    <t>screen-14</t>
  </si>
  <si>
    <t>screen-15</t>
  </si>
  <si>
    <t>screen-16</t>
  </si>
  <si>
    <t>screen-17</t>
  </si>
  <si>
    <t>screen-18</t>
  </si>
  <si>
    <t>screen-19</t>
  </si>
  <si>
    <t>screen-20</t>
  </si>
  <si>
    <t>Agent population — measurement first</t>
  </si>
  <si>
    <t>Unit / status</t>
  </si>
  <si>
    <t>Interpretation</t>
  </si>
  <si>
    <t>Measured whole-pool completed request rate (R)</t>
  </si>
  <si>
    <t>requests / minute</t>
  </si>
  <si>
    <t>Enter a sustained rate at the actual context/output mix and acceptable latency.</t>
  </si>
  <si>
    <t>Target interval between agent turns (W)</t>
  </si>
  <si>
    <t>minutes / turn</t>
  </si>
  <si>
    <t>Proposed cadence; agent identity persists while waiting.</t>
  </si>
  <si>
    <t>Usable fraction of measured capacity (U)</t>
  </si>
  <si>
    <t>Assumption: headroom and competing workloads use the remainder.</t>
  </si>
  <si>
    <t>Mean model requests per research turn (C)</t>
  </si>
  <si>
    <t>requests / turn</t>
  </si>
  <si>
    <t>Assumption; include memory formation, review, retries, and synthesis. Replace with measurement.</t>
  </si>
  <si>
    <t>Cadence population estimate</t>
  </si>
  <si>
    <t>A scheduling estimate. Tool latency, serialization, and review may lower it.</t>
  </si>
  <si>
    <t>Target population</t>
  </si>
  <si>
    <t>Required whole-pool request rate</t>
  </si>
  <si>
    <t>Target interval at measured rate</t>
  </si>
  <si>
    <t>minutes / agent turn</t>
  </si>
  <si>
    <t>Illustrations below are hypothetical rates, not predictions or measurements. They use the editable cadence/calls/headroom inputs above. Do not interpret them as a hardware limit.</t>
  </si>
  <si>
    <t>Hypothetical requests / minute</t>
  </si>
  <si>
    <t>Cadence population</t>
  </si>
  <si>
    <t>Hypothetical</t>
  </si>
  <si>
    <t>S2: analyst-selected sensitivity input, not an observed benchmark.</t>
  </si>
  <si>
    <t>Device memory — illustrative accounting</t>
  </si>
  <si>
    <t>Status / meaning</t>
  </si>
  <si>
    <t>Parameters</t>
  </si>
  <si>
    <t>billion</t>
  </si>
  <si>
    <t>Hypothetical dense model; no particular model selected.</t>
  </si>
  <si>
    <t>Weight precision</t>
  </si>
  <si>
    <t>bits / parameter</t>
  </si>
  <si>
    <t>Approximation excludes quantization metadata.</t>
  </si>
  <si>
    <t>Transformer layers</t>
  </si>
  <si>
    <t>layers</t>
  </si>
  <si>
    <t>Hypothetical conventional KV-cache layout.</t>
  </si>
  <si>
    <t>KV heads</t>
  </si>
  <si>
    <t>heads</t>
  </si>
  <si>
    <t>Use KV heads, which may differ from query heads.</t>
  </si>
  <si>
    <t>Head dimension</t>
  </si>
  <si>
    <t>elements</t>
  </si>
  <si>
    <t>Replace with actual model configuration.</t>
  </si>
  <si>
    <t>KV precision</t>
  </si>
  <si>
    <t>bytes / element</t>
  </si>
  <si>
    <t>Assumption; may differ from weight precision.</t>
  </si>
  <si>
    <t>Cached tokens per sequence</t>
  </si>
  <si>
    <t>tokens</t>
  </si>
  <si>
    <t>Includes prompt and generated tokens retained in cache.</t>
  </si>
  <si>
    <t>Other runtime allocation</t>
  </si>
  <si>
    <t>GiB</t>
  </si>
  <si>
    <t>Illustrative placeholder; measure buffers and allocator overhead.</t>
  </si>
  <si>
    <t>Available memory for this replica</t>
  </si>
  <si>
    <t>Enter a verified allocatable limit for the actual placement; do not sum unpooled GPUs.</t>
  </si>
  <si>
    <t>Device memory reserve fraction</t>
  </si>
  <si>
    <t>Assumption; independent of SU reserve.</t>
  </si>
  <si>
    <t>Approximate weights</t>
  </si>
  <si>
    <t>Approximate KV / sequence</t>
  </si>
  <si>
    <t>GiB / sequence</t>
  </si>
  <si>
    <t>Memory-only sequence upper bound</t>
  </si>
  <si>
    <t>Not a supported concurrency or throughput claim. Model/backend behavior can impose tighter bounds.</t>
  </si>
  <si>
    <t>This approximation is unsuitable without adjustment for architectures with nonstandard caches, sliding-window attention, shared prefixes, offloading, or different tensor placement. Measure actual allocation and valid request performance. GB and GiB differ; these formulas report GiB.</t>
  </si>
  <si>
    <t>Sources and assumptions</t>
  </si>
  <si>
    <t>ID</t>
  </si>
  <si>
    <t>Publisher</t>
  </si>
  <si>
    <t>Title</t>
  </si>
  <si>
    <t>Date / version</t>
  </si>
  <si>
    <t>URL or access note</t>
  </si>
  <si>
    <t>Use</t>
  </si>
  <si>
    <t>S1</t>
  </si>
  <si>
    <t>TACC</t>
  </si>
  <si>
    <t>Stampede3 User Guide</t>
  </si>
  <si>
    <t>Accessed 2026-09-12</t>
  </si>
  <si>
    <t>https://docs.tacc.utexas.edu/hpc/stampede3/</t>
  </si>
  <si>
    <t>Charge rate, per-job minimum, queue limits. Live settings may change.</t>
  </si>
  <si>
    <t>S2</t>
  </si>
  <si>
    <t>Planning analysis</t>
  </si>
  <si>
    <t>Superyak research-community proposal</t>
  </si>
  <si>
    <t>2026-09-12</t>
  </si>
  <si>
    <t>Sibling 2026-09-12-stampede3-research-community.md</t>
  </si>
  <si>
    <t>Proposed durations, reserves, cadence assumptions, and hypothetical transformer layout. No measured performance.</t>
  </si>
  <si>
    <t>S3</t>
  </si>
  <si>
    <t>PyTorch contributors</t>
  </si>
  <si>
    <t>Getting Started on Intel GPU</t>
  </si>
  <si>
    <t>PyTorch 2.14; updated 2026-08-21</t>
  </si>
  <si>
    <t>https://docs.pytorch.org/docs/2.14/notes/get_start_xpu.html</t>
  </si>
  <si>
    <t>Device and software preflight; not a throughput source.</t>
  </si>
  <si>
    <t>S4</t>
  </si>
  <si>
    <t>vLLM contributors</t>
  </si>
  <si>
    <t>GPU installation: Intel XPU</t>
  </si>
  <si>
    <t>Latest docs, accessed 2026-09-12</t>
  </si>
  <si>
    <t>https://docs.vllm.ai/en/latest/getting_started/installation/gpu/</t>
  </si>
  <si>
    <t>Serving-stack compatibility; not a capacity benchmark.</t>
  </si>
  <si>
    <t>S5</t>
  </si>
  <si>
    <t>ggml-org contributors</t>
  </si>
  <si>
    <t>llama.cpp SYCL backend</t>
  </si>
  <si>
    <t>Master docs, accessed 2026-09-12</t>
  </si>
  <si>
    <t>https://github.com/ggml-org/llama.cpp/blob/master/docs/backend/SYCL.md</t>
  </si>
  <si>
    <t>Fallback backend support; no benchmark rates transferred.</t>
  </si>
  <si>
    <t>S6</t>
  </si>
  <si>
    <t>NIST/SEMATECH</t>
  </si>
  <si>
    <t>Selecting an experimental design</t>
  </si>
  <si>
    <t>https://www.itl.nist.gov/div898/handbook/pri/section3/pri33.htm</t>
  </si>
  <si>
    <t>Structured cross-comparisons; exact matrix and schedule are planning choices.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</si>
</sst>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6">
    <font>
      <sz val="11"/>
      <color theme="1"/>
      <name val="Calibri"/>
      <family val="2"/>
      <scheme val="minor"/>
    </font>
    <font>
      <b/>
      <sz val="17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65B8C"/>
      <name val="Calibri"/>
      <family val="2"/>
      <scheme val="minor"/>
    </font>
    <font>
      <u/>
      <sz val="11"/>
      <color rgb="FF165B8C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6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164" fontId="3" fillId="3" borderId="0" xfId="0" applyNumberFormat="1" applyFont="1" applyFill="1" applyAlignment="1">
      <alignment vertical="top"/>
    </xf>
    <xf numFmtId="165" fontId="3" fillId="3" borderId="0" xfId="0" applyNumberFormat="1" applyFont="1" applyFill="1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tacc.utexas.edu/hpc/stampede3/" TargetMode="External"/><Relationship Id="rId2" Type="http://schemas.openxmlformats.org/officeDocument/2006/relationships/hyperlink" Target="https://docs.pytorch.org/docs/2.14/notes/get_start_xpu.html" TargetMode="External"/><Relationship Id="rId3" Type="http://schemas.openxmlformats.org/officeDocument/2006/relationships/hyperlink" Target="https://docs.vllm.ai/en/latest/getting_started/installation/gpu/" TargetMode="External"/><Relationship Id="rId4" Type="http://schemas.openxmlformats.org/officeDocument/2006/relationships/hyperlink" Target="https://github.com/ggml-org/llama.cpp/blob/master/docs/backend/SYCL.md" TargetMode="External"/><Relationship Id="rId5" Type="http://schemas.openxmlformats.org/officeDocument/2006/relationships/hyperlink" Target="https://www.itl.nist.gov/div898/handbook/pri/section3/pri3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1" width="31.7109375" style="1" customWidth="1"/>
    <col min="2" max="2" width="94.7109375" style="1" customWidth="1"/>
  </cols>
  <sheetData>
    <row r="1" spans="1:2" ht="34" customHeight="1">
      <c r="A1" s="2" t="s">
        <v>0</v>
      </c>
      <c r="B1" s="2"/>
    </row>
    <row r="3" spans="1:2" ht="28" customHeight="1">
      <c r="A3" s="3" t="s">
        <v>1</v>
      </c>
      <c r="B3" s="3" t="s">
        <v>2</v>
      </c>
    </row>
    <row r="4" spans="1:2" ht="57" customHeight="1">
      <c r="A4" s="1" t="s">
        <v>3</v>
      </c>
      <c r="B4" s="1" t="s">
        <v>4</v>
      </c>
    </row>
    <row r="5" spans="1:2" ht="57" customHeight="1">
      <c r="A5" s="1" t="s">
        <v>5</v>
      </c>
      <c r="B5" s="1" t="s">
        <v>6</v>
      </c>
    </row>
    <row r="6" spans="1:2" ht="57" customHeight="1">
      <c r="A6" s="1" t="s">
        <v>7</v>
      </c>
      <c r="B6" s="1" t="s">
        <v>8</v>
      </c>
    </row>
    <row r="7" spans="1:2" ht="57" customHeight="1">
      <c r="A7" s="1" t="s">
        <v>9</v>
      </c>
      <c r="B7" s="1" t="s">
        <v>10</v>
      </c>
    </row>
    <row r="8" spans="1:2" ht="57" customHeight="1">
      <c r="A8" s="1" t="s">
        <v>11</v>
      </c>
      <c r="B8" s="1" t="s">
        <v>12</v>
      </c>
    </row>
    <row r="9" spans="1:2" ht="57" customHeight="1">
      <c r="A9" s="1" t="s">
        <v>13</v>
      </c>
      <c r="B9" s="1" t="s">
        <v>14</v>
      </c>
    </row>
    <row r="10" spans="1:2" ht="57" customHeight="1">
      <c r="A10" s="1" t="s">
        <v>15</v>
      </c>
      <c r="B10" s="1" t="s">
        <v>16</v>
      </c>
    </row>
    <row r="11" spans="1:2" ht="57" customHeight="1">
      <c r="A11" s="1" t="s">
        <v>17</v>
      </c>
      <c r="B11" s="1" t="s">
        <v>18</v>
      </c>
    </row>
    <row r="12" spans="1:2" ht="57" customHeight="1">
      <c r="A12" s="1" t="s">
        <v>19</v>
      </c>
      <c r="B12" s="1" t="s">
        <v>20</v>
      </c>
    </row>
    <row r="13" spans="1:2" ht="57" customHeight="1">
      <c r="A13" s="1" t="s">
        <v>21</v>
      </c>
      <c r="B13" s="1" t="s">
        <v>22</v>
      </c>
    </row>
    <row r="14" spans="1:2" ht="57" customHeight="1">
      <c r="A14" s="1" t="s">
        <v>23</v>
      </c>
      <c r="B14" s="1" t="s">
        <v>24</v>
      </c>
    </row>
  </sheetData>
  <mergeCells count="1">
    <mergeCell ref="A1:B1"/>
  </mergeCells>
  <pageMargins left="0.7" right="0.7" top="0.75" bottom="0.75" header="0.3" footer="0.3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1" width="35.7109375" style="1" customWidth="1"/>
    <col min="2" max="2" width="17.7109375" style="1" customWidth="1"/>
    <col min="3" max="3" width="21.7109375" style="1" customWidth="1"/>
    <col min="4" max="4" width="23.7109375" style="1" customWidth="1"/>
    <col min="5" max="5" width="18.7109375" style="1" customWidth="1"/>
    <col min="6" max="6" width="53.7109375" style="1" customWidth="1"/>
  </cols>
  <sheetData>
    <row r="1" spans="1:6" ht="34" customHeight="1">
      <c r="A1" s="2" t="s">
        <v>25</v>
      </c>
      <c r="B1" s="2"/>
      <c r="C1" s="2"/>
      <c r="D1" s="2"/>
      <c r="E1" s="2"/>
      <c r="F1" s="2"/>
    </row>
    <row r="3" spans="1:6" ht="28" customHeight="1">
      <c r="A3" s="3" t="s">
        <v>26</v>
      </c>
      <c r="B3" s="3" t="s">
        <v>27</v>
      </c>
      <c r="C3" s="3" t="s">
        <v>28</v>
      </c>
      <c r="D3" s="3" t="s">
        <v>3</v>
      </c>
      <c r="E3" s="3"/>
      <c r="F3" s="3" t="s">
        <v>29</v>
      </c>
    </row>
    <row r="4" spans="1:6" ht="28" customHeight="1">
      <c r="A4" s="1" t="s">
        <v>30</v>
      </c>
      <c r="B4" s="4">
        <v>3</v>
      </c>
      <c r="C4" s="1" t="s">
        <v>31</v>
      </c>
      <c r="D4" s="1" t="s">
        <v>32</v>
      </c>
      <c r="F4" s="1" t="s">
        <v>33</v>
      </c>
    </row>
    <row r="5" spans="1:6" ht="28" customHeight="1">
      <c r="A5" s="1" t="s">
        <v>34</v>
      </c>
      <c r="B5" s="4">
        <v>0.25</v>
      </c>
      <c r="C5" s="1" t="s">
        <v>35</v>
      </c>
      <c r="D5" s="1" t="s">
        <v>32</v>
      </c>
      <c r="F5" s="1" t="s">
        <v>36</v>
      </c>
    </row>
    <row r="6" spans="1:6" ht="28" customHeight="1">
      <c r="A6" s="1" t="s">
        <v>37</v>
      </c>
      <c r="B6" s="5">
        <v>0.2</v>
      </c>
      <c r="C6" s="1" t="s">
        <v>38</v>
      </c>
      <c r="D6" s="1" t="s">
        <v>39</v>
      </c>
      <c r="F6" s="1" t="s">
        <v>40</v>
      </c>
    </row>
    <row r="7" spans="1:6" ht="28" customHeight="1">
      <c r="A7" s="1" t="s">
        <v>41</v>
      </c>
      <c r="B7" s="4"/>
      <c r="C7" s="1" t="s">
        <v>42</v>
      </c>
      <c r="D7" s="1" t="s">
        <v>43</v>
      </c>
      <c r="F7" s="1" t="s">
        <v>44</v>
      </c>
    </row>
    <row r="9" spans="1:6" ht="28" customHeight="1">
      <c r="A9" s="3" t="s">
        <v>45</v>
      </c>
      <c r="B9" s="3" t="s">
        <v>46</v>
      </c>
      <c r="C9" s="3" t="s">
        <v>47</v>
      </c>
      <c r="D9" s="3" t="s">
        <v>48</v>
      </c>
      <c r="E9" s="3" t="s">
        <v>42</v>
      </c>
      <c r="F9" s="3" t="s">
        <v>49</v>
      </c>
    </row>
    <row r="10" spans="1:6" ht="28" customHeight="1">
      <c r="A10" s="1" t="s">
        <v>50</v>
      </c>
      <c r="B10" s="4">
        <v>4</v>
      </c>
      <c r="C10" s="4">
        <v>1</v>
      </c>
      <c r="D10" s="6">
        <f>B10*C10</f>
        <v>4</v>
      </c>
      <c r="E10" s="6">
        <f>B10*MAX(C10,$B$5)*$B$4</f>
        <v>12</v>
      </c>
      <c r="F10" s="1" t="s">
        <v>51</v>
      </c>
    </row>
    <row r="11" spans="1:6" ht="28" customHeight="1">
      <c r="A11" s="1" t="s">
        <v>52</v>
      </c>
      <c r="B11" s="6">
        <f>'Parallel screen'!B4+'Parallel screen'!B5</f>
        <v>4</v>
      </c>
      <c r="C11" s="6">
        <f>'Parallel screen'!B11</f>
        <v>10.5</v>
      </c>
      <c r="D11" s="6">
        <f>B11*C11</f>
        <v>42.0</v>
      </c>
      <c r="E11" s="6">
        <f>B11*MAX(C11,$B$5)*$B$4</f>
        <v>126.0</v>
      </c>
      <c r="F11" s="1" t="s">
        <v>53</v>
      </c>
    </row>
    <row r="12" spans="1:6" ht="28" customHeight="1">
      <c r="A12" s="1" t="s">
        <v>54</v>
      </c>
      <c r="B12" s="4">
        <v>4</v>
      </c>
      <c r="C12" s="4">
        <v>3</v>
      </c>
      <c r="D12" s="6">
        <f>B12*C12</f>
        <v>12</v>
      </c>
      <c r="E12" s="6">
        <f>B12*MAX(C12,$B$5)*$B$4</f>
        <v>36</v>
      </c>
      <c r="F12" s="1" t="s">
        <v>55</v>
      </c>
    </row>
    <row r="13" spans="1:6" ht="28" customHeight="1">
      <c r="A13" s="1" t="s">
        <v>56</v>
      </c>
      <c r="B13" s="4">
        <v>4</v>
      </c>
      <c r="C13" s="4">
        <v>6</v>
      </c>
      <c r="D13" s="6">
        <f>B13*C13</f>
        <v>24</v>
      </c>
      <c r="E13" s="6">
        <f>B13*MAX(C13,$B$5)*$B$4</f>
        <v>72</v>
      </c>
      <c r="F13" s="1" t="s">
        <v>57</v>
      </c>
    </row>
    <row r="14" spans="1:6" ht="28" customHeight="1">
      <c r="A14" s="1" t="s">
        <v>58</v>
      </c>
      <c r="B14" s="4">
        <v>1</v>
      </c>
      <c r="C14" s="4">
        <v>12</v>
      </c>
      <c r="D14" s="6">
        <f>B14*C14</f>
        <v>12</v>
      </c>
      <c r="E14" s="6">
        <f>B14*MAX(C14,$B$5)*$B$4</f>
        <v>36</v>
      </c>
      <c r="F14" s="1" t="s">
        <v>59</v>
      </c>
    </row>
    <row r="15" spans="1:6" ht="28" customHeight="1">
      <c r="A15" s="1" t="s">
        <v>60</v>
      </c>
      <c r="B15" s="4">
        <v>1</v>
      </c>
      <c r="C15" s="4">
        <v>8</v>
      </c>
      <c r="D15" s="6">
        <f>B15*C15</f>
        <v>8</v>
      </c>
      <c r="E15" s="6">
        <f>B15*MAX(C15,$B$5)*$B$4</f>
        <v>24</v>
      </c>
      <c r="F15" s="1" t="s">
        <v>61</v>
      </c>
    </row>
    <row r="16" spans="1:6" ht="28" customHeight="1">
      <c r="A16" s="1" t="s">
        <v>62</v>
      </c>
      <c r="B16" s="4">
        <v>1</v>
      </c>
      <c r="C16" s="4">
        <v>8</v>
      </c>
      <c r="D16" s="6">
        <f>B16*C16</f>
        <v>8</v>
      </c>
      <c r="E16" s="6">
        <f>B16*MAX(C16,$B$5)*$B$4</f>
        <v>24</v>
      </c>
      <c r="F16" s="1" t="s">
        <v>63</v>
      </c>
    </row>
    <row r="18" spans="1:6" ht="28" customHeight="1">
      <c r="A18" s="3" t="s">
        <v>64</v>
      </c>
      <c r="D18" s="6">
        <f>SUM(D10:D16)</f>
        <v>110</v>
      </c>
      <c r="E18" s="6">
        <f>SUM(E10:E16)</f>
        <v>330</v>
      </c>
    </row>
    <row r="19" spans="1:6" ht="28" customHeight="1">
      <c r="A19" s="1" t="s">
        <v>65</v>
      </c>
      <c r="E19" s="6">
        <f>E18/(1-B6)</f>
        <v>412.5</v>
      </c>
    </row>
    <row r="20" spans="1:6" ht="28" customHeight="1">
      <c r="A20" s="1" t="s">
        <v>66</v>
      </c>
      <c r="E20" s="6">
        <f>E19-E18</f>
        <v>82.5</v>
      </c>
    </row>
    <row r="21" spans="1:6" ht="28" customHeight="1">
      <c r="A21" s="1" t="s">
        <v>67</v>
      </c>
      <c r="E21" s="6" t="str">
        <f>IF(B7="","Unknown",B7-E19)</f>
        <v>Unknown</v>
      </c>
    </row>
    <row r="23" spans="1:6" ht="28" customHeight="1">
      <c r="A23" s="1" t="s">
        <v>68</v>
      </c>
      <c r="B23" s="1"/>
      <c r="C23" s="1"/>
      <c r="D23" s="1"/>
      <c r="E23" s="1"/>
      <c r="F23" s="1"/>
    </row>
    <row r="24" spans="1:6" ht="28" customHeight="1">
      <c r="A24" s="1"/>
      <c r="B24" s="1"/>
      <c r="C24" s="1"/>
      <c r="D24" s="1"/>
      <c r="E24" s="1"/>
      <c r="F24" s="1"/>
    </row>
    <row r="27" spans="1:6" ht="28" customHeight="1">
      <c r="A27" s="3" t="s">
        <v>69</v>
      </c>
      <c r="B27" s="3" t="s">
        <v>46</v>
      </c>
      <c r="C27" s="3" t="s">
        <v>70</v>
      </c>
      <c r="D27" s="3" t="s">
        <v>48</v>
      </c>
      <c r="E27" s="3" t="s">
        <v>42</v>
      </c>
      <c r="F27" s="3" t="s">
        <v>2</v>
      </c>
    </row>
    <row r="28" spans="1:6" ht="28" customHeight="1">
      <c r="A28" s="1" t="s">
        <v>71</v>
      </c>
      <c r="B28" s="7">
        <v>1</v>
      </c>
      <c r="C28" s="7">
        <v>168</v>
      </c>
      <c r="D28" s="6">
        <f>B28*C28</f>
        <v>168</v>
      </c>
      <c r="E28" s="6">
        <f>D28*$B$4</f>
        <v>504</v>
      </c>
      <c r="F28" s="1" t="s">
        <v>72</v>
      </c>
    </row>
    <row r="29" spans="1:6" ht="28" customHeight="1">
      <c r="A29" s="1" t="s">
        <v>71</v>
      </c>
      <c r="B29" s="7">
        <v>2</v>
      </c>
      <c r="C29" s="7">
        <v>168</v>
      </c>
      <c r="D29" s="6">
        <f>B29*C29</f>
        <v>336</v>
      </c>
      <c r="E29" s="6">
        <f>D29*$B$4</f>
        <v>1008</v>
      </c>
      <c r="F29" s="1" t="s">
        <v>72</v>
      </c>
    </row>
    <row r="30" spans="1:6" ht="28" customHeight="1">
      <c r="A30" s="1" t="s">
        <v>71</v>
      </c>
      <c r="B30" s="7">
        <v>4</v>
      </c>
      <c r="C30" s="7">
        <v>168</v>
      </c>
      <c r="D30" s="6">
        <f>B30*C30</f>
        <v>672</v>
      </c>
      <c r="E30" s="6">
        <f>D30*$B$4</f>
        <v>2016</v>
      </c>
      <c r="F30" s="1" t="s">
        <v>72</v>
      </c>
    </row>
  </sheetData>
  <mergeCells count="2">
    <mergeCell ref="A1:F1"/>
    <mergeCell ref="A23:F24"/>
  </mergeCells>
  <dataValidations count="5">
    <dataValidation type="decimal" allowBlank="1" showInputMessage="1" showErrorMessage="1" error="Enter a positive value within the stated bounds." sqref="B4:B5">
      <formula1>1e-06</formula1>
      <formula2>1000000000.0</formula2>
    </dataValidation>
    <dataValidation type="decimal" allowBlank="1" showInputMessage="1" showErrorMessage="1" error="Enter a positive value within the stated bounds." sqref="B7">
      <formula1>1e-06</formula1>
      <formula2>1000000000.0</formula2>
    </dataValidation>
    <dataValidation type="decimal" allowBlank="1" showInputMessage="1" showErrorMessage="1" sqref="B6">
      <formula1>0</formula1>
      <formula2>0.95</formula2>
    </dataValidation>
    <dataValidation type="whole" allowBlank="1" showInputMessage="1" showErrorMessage="1" error="Enter a positive value within the stated bounds." sqref="B10:B16">
      <formula1>1</formula1>
      <formula2>4</formula2>
    </dataValidation>
    <dataValidation type="decimal" allowBlank="1" showInputMessage="1" showErrorMessage="1" error="Enter a positive value within the stated bounds." sqref="C10:C16">
      <formula1>1e-06</formula1>
      <formula2>48</formula2>
    </dataValidation>
  </dataValidations>
  <pageMargins left="0.7" right="0.7" top="0.75" bottom="0.75" header="0.3" footer="0.3"/>
  <pageSetup paperSize="9" scale="8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2" width="23.7109375" style="1" customWidth="1"/>
    <col min="3" max="3" width="19.7109375" style="1" customWidth="1"/>
    <col min="4" max="4" width="18.7109375" style="1" customWidth="1"/>
    <col min="5" max="5" width="20.7109375" style="1" customWidth="1"/>
    <col min="6" max="6" width="19.7109375" style="1" customWidth="1"/>
    <col min="7" max="7" width="48.7109375" style="1" customWidth="1"/>
  </cols>
  <sheetData>
    <row r="1" spans="1:7" ht="34" customHeight="1">
      <c r="A1" s="2" t="s">
        <v>73</v>
      </c>
      <c r="B1" s="2"/>
      <c r="C1" s="2"/>
      <c r="D1" s="2"/>
      <c r="E1" s="2"/>
      <c r="F1" s="2"/>
      <c r="G1" s="2"/>
    </row>
    <row r="3" spans="1:7" ht="28" customHeight="1">
      <c r="A3" s="3" t="s">
        <v>74</v>
      </c>
      <c r="B3" s="3" t="s">
        <v>27</v>
      </c>
      <c r="C3" s="3" t="s">
        <v>28</v>
      </c>
      <c r="D3" s="3"/>
      <c r="E3" s="3"/>
      <c r="F3" s="3"/>
      <c r="G3" s="3" t="s">
        <v>2</v>
      </c>
    </row>
    <row r="4" spans="1:7" ht="46" customHeight="1">
      <c r="A4" s="1" t="s">
        <v>75</v>
      </c>
      <c r="B4" s="4">
        <v>3</v>
      </c>
      <c r="C4" s="1" t="s">
        <v>76</v>
      </c>
      <c r="G4" s="1" t="s">
        <v>77</v>
      </c>
    </row>
    <row r="5" spans="1:7" ht="46" customHeight="1">
      <c r="A5" s="1" t="s">
        <v>78</v>
      </c>
      <c r="B5" s="4">
        <v>1</v>
      </c>
      <c r="C5" s="1" t="s">
        <v>76</v>
      </c>
      <c r="G5" s="1" t="s">
        <v>79</v>
      </c>
    </row>
    <row r="6" spans="1:7" ht="46" customHeight="1">
      <c r="A6" s="1" t="s">
        <v>80</v>
      </c>
      <c r="B6" s="4">
        <v>1.5</v>
      </c>
      <c r="C6" s="1" t="s">
        <v>35</v>
      </c>
      <c r="G6" s="1" t="s">
        <v>81</v>
      </c>
    </row>
    <row r="7" spans="1:7" ht="46" customHeight="1">
      <c r="A7" s="1" t="s">
        <v>82</v>
      </c>
      <c r="B7" s="7">
        <v>16</v>
      </c>
      <c r="C7" s="1" t="s">
        <v>83</v>
      </c>
      <c r="G7" s="1" t="s">
        <v>84</v>
      </c>
    </row>
    <row r="8" spans="1:7" ht="46" customHeight="1">
      <c r="A8" s="1" t="s">
        <v>85</v>
      </c>
      <c r="B8" s="7">
        <v>4</v>
      </c>
      <c r="C8" s="1" t="s">
        <v>83</v>
      </c>
      <c r="G8" s="1" t="s">
        <v>86</v>
      </c>
    </row>
    <row r="10" spans="1:7" ht="28" customHeight="1">
      <c r="A10" s="1" t="s">
        <v>87</v>
      </c>
      <c r="B10" s="7">
        <f>ROUNDUP((B7+B8)/B4,0)</f>
        <v>7</v>
      </c>
    </row>
    <row r="11" spans="1:7" ht="28" customHeight="1">
      <c r="A11" s="1" t="s">
        <v>88</v>
      </c>
      <c r="B11" s="6">
        <f>B10*B6</f>
        <v>10.5</v>
      </c>
      <c r="C11" s="1" t="s">
        <v>89</v>
      </c>
    </row>
    <row r="12" spans="1:7" ht="28" customHeight="1">
      <c r="A12" s="1" t="s">
        <v>90</v>
      </c>
      <c r="B12" s="6">
        <f>(B4+B5)*B11</f>
        <v>42</v>
      </c>
    </row>
    <row r="13" spans="1:7" ht="28" customHeight="1">
      <c r="A13" s="1" t="s">
        <v>91</v>
      </c>
      <c r="B13" s="6">
        <f>(B4+B5)*MAX(B11,'Run budget'!B5)*'Run budget'!B4</f>
        <v>126</v>
      </c>
    </row>
    <row r="14" spans="1:7" ht="28" customHeight="1">
      <c r="A14" s="1" t="s">
        <v>92</v>
      </c>
      <c r="B14" s="1" t="str">
        <f>IF(B4+B5&gt;4,"Exceeds published limit","Within published limit")</f>
        <v>Within published limit</v>
      </c>
    </row>
    <row r="16" spans="1:7" ht="28" customHeight="1">
      <c r="A16" s="1" t="s">
        <v>93</v>
      </c>
      <c r="B16" s="1"/>
      <c r="C16" s="1"/>
      <c r="D16" s="1"/>
      <c r="E16" s="1"/>
      <c r="F16" s="1"/>
      <c r="G16" s="1"/>
    </row>
    <row r="17" spans="1:7" ht="28" customHeight="1">
      <c r="A17" s="1"/>
      <c r="B17" s="1"/>
      <c r="C17" s="1"/>
      <c r="D17" s="1"/>
      <c r="E17" s="1"/>
      <c r="F17" s="1"/>
      <c r="G17" s="1"/>
    </row>
    <row r="20" spans="1:7" ht="28" customHeight="1">
      <c r="A20" s="3" t="s">
        <v>94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  <c r="G20" s="3" t="s">
        <v>100</v>
      </c>
    </row>
    <row r="21" spans="1:7" ht="28" customHeight="1">
      <c r="A21" s="1" t="s">
        <v>101</v>
      </c>
      <c r="B21" s="1" t="s">
        <v>102</v>
      </c>
      <c r="C21" s="1" t="s">
        <v>102</v>
      </c>
      <c r="D21" s="1">
        <v>32</v>
      </c>
      <c r="E21" s="1">
        <v>4</v>
      </c>
      <c r="F21" s="7">
        <f>ROUNDDOWN(0/$B$4,0)+1</f>
        <v>1</v>
      </c>
      <c r="G21" s="1" t="str">
        <f>MOD(0,$B$4)+1&amp;" / factorial"</f>
        <v>1 / factorial</v>
      </c>
    </row>
    <row r="22" spans="1:7" ht="28" customHeight="1">
      <c r="A22" s="1" t="s">
        <v>103</v>
      </c>
      <c r="B22" s="1" t="s">
        <v>102</v>
      </c>
      <c r="C22" s="1" t="s">
        <v>104</v>
      </c>
      <c r="D22" s="1">
        <v>32</v>
      </c>
      <c r="E22" s="1">
        <v>16</v>
      </c>
      <c r="F22" s="7">
        <f>ROUNDDOWN(1/$B$4,0)+1</f>
        <v>1</v>
      </c>
      <c r="G22" s="1" t="str">
        <f>MOD(1,$B$4)+1&amp;" / factorial"</f>
        <v>2 / factorial</v>
      </c>
    </row>
    <row r="23" spans="1:7" ht="28" customHeight="1">
      <c r="A23" s="1" t="s">
        <v>105</v>
      </c>
      <c r="B23" s="1" t="s">
        <v>102</v>
      </c>
      <c r="C23" s="1" t="s">
        <v>104</v>
      </c>
      <c r="D23" s="1">
        <v>1</v>
      </c>
      <c r="E23" s="1">
        <v>1</v>
      </c>
      <c r="F23" s="7">
        <f>ROUNDDOWN(2/$B$4,0)+1</f>
        <v>1</v>
      </c>
      <c r="G23" s="1" t="str">
        <f>MOD(2,$B$4)+1&amp;" / serial reference"</f>
        <v>3 / serial reference</v>
      </c>
    </row>
    <row r="24" spans="1:7" ht="28" customHeight="1">
      <c r="A24" s="1" t="s">
        <v>106</v>
      </c>
      <c r="B24" s="1" t="s">
        <v>104</v>
      </c>
      <c r="C24" s="1" t="s">
        <v>102</v>
      </c>
      <c r="D24" s="1">
        <v>128</v>
      </c>
      <c r="E24" s="1">
        <v>16</v>
      </c>
      <c r="F24" s="7">
        <f>ROUNDDOWN(3/$B$4,0)+1</f>
        <v>2</v>
      </c>
      <c r="G24" s="1" t="str">
        <f>MOD(3,$B$4)+1&amp;" / factorial"</f>
        <v>1 / factorial</v>
      </c>
    </row>
    <row r="25" spans="1:7" ht="28" customHeight="1">
      <c r="A25" s="1" t="s">
        <v>107</v>
      </c>
      <c r="B25" s="1" t="s">
        <v>104</v>
      </c>
      <c r="C25" s="1" t="s">
        <v>102</v>
      </c>
      <c r="D25" s="1">
        <v>1</v>
      </c>
      <c r="E25" s="1">
        <v>1</v>
      </c>
      <c r="F25" s="7">
        <f>ROUNDDOWN(4/$B$4,0)+1</f>
        <v>2</v>
      </c>
      <c r="G25" s="1" t="str">
        <f>MOD(4,$B$4)+1&amp;" / serial reference"</f>
        <v>2 / serial reference</v>
      </c>
    </row>
    <row r="26" spans="1:7" ht="28" customHeight="1">
      <c r="A26" s="1" t="s">
        <v>108</v>
      </c>
      <c r="B26" s="1" t="s">
        <v>102</v>
      </c>
      <c r="C26" s="1" t="s">
        <v>102</v>
      </c>
      <c r="D26" s="1">
        <v>1</v>
      </c>
      <c r="E26" s="1">
        <v>1</v>
      </c>
      <c r="F26" s="7">
        <f>ROUNDDOWN(5/$B$4,0)+1</f>
        <v>2</v>
      </c>
      <c r="G26" s="1" t="str">
        <f>MOD(5,$B$4)+1&amp;" / serial reference"</f>
        <v>3 / serial reference</v>
      </c>
    </row>
    <row r="27" spans="1:7" ht="28" customHeight="1">
      <c r="A27" s="1" t="s">
        <v>109</v>
      </c>
      <c r="B27" s="1" t="s">
        <v>104</v>
      </c>
      <c r="C27" s="1" t="s">
        <v>102</v>
      </c>
      <c r="D27" s="1">
        <v>128</v>
      </c>
      <c r="E27" s="1">
        <v>4</v>
      </c>
      <c r="F27" s="7">
        <f>ROUNDDOWN(6/$B$4,0)+1</f>
        <v>3</v>
      </c>
      <c r="G27" s="1" t="str">
        <f>MOD(6,$B$4)+1&amp;" / factorial"</f>
        <v>1 / factorial</v>
      </c>
    </row>
    <row r="28" spans="1:7" ht="28" customHeight="1">
      <c r="A28" s="1" t="s">
        <v>110</v>
      </c>
      <c r="B28" s="1" t="s">
        <v>104</v>
      </c>
      <c r="C28" s="1" t="s">
        <v>104</v>
      </c>
      <c r="D28" s="1">
        <v>128</v>
      </c>
      <c r="E28" s="1">
        <v>16</v>
      </c>
      <c r="F28" s="7">
        <f>ROUNDDOWN(7/$B$4,0)+1</f>
        <v>3</v>
      </c>
      <c r="G28" s="1" t="str">
        <f>MOD(7,$B$4)+1&amp;" / factorial"</f>
        <v>2 / factorial</v>
      </c>
    </row>
    <row r="29" spans="1:7" ht="28" customHeight="1">
      <c r="A29" s="1" t="s">
        <v>111</v>
      </c>
      <c r="B29" s="1" t="s">
        <v>102</v>
      </c>
      <c r="C29" s="1" t="s">
        <v>104</v>
      </c>
      <c r="D29" s="1">
        <v>128</v>
      </c>
      <c r="E29" s="1">
        <v>16</v>
      </c>
      <c r="F29" s="7">
        <f>ROUNDDOWN(8/$B$4,0)+1</f>
        <v>3</v>
      </c>
      <c r="G29" s="1" t="str">
        <f>MOD(8,$B$4)+1&amp;" / factorial"</f>
        <v>3 / factorial</v>
      </c>
    </row>
    <row r="30" spans="1:7" ht="28" customHeight="1">
      <c r="A30" s="1" t="s">
        <v>112</v>
      </c>
      <c r="B30" s="1" t="s">
        <v>102</v>
      </c>
      <c r="C30" s="1" t="s">
        <v>102</v>
      </c>
      <c r="D30" s="1">
        <v>128</v>
      </c>
      <c r="E30" s="1">
        <v>16</v>
      </c>
      <c r="F30" s="7">
        <f>ROUNDDOWN(9/$B$4,0)+1</f>
        <v>4</v>
      </c>
      <c r="G30" s="1" t="str">
        <f>MOD(9,$B$4)+1&amp;" / factorial"</f>
        <v>1 / factorial</v>
      </c>
    </row>
    <row r="31" spans="1:7" ht="28" customHeight="1">
      <c r="A31" s="1" t="s">
        <v>113</v>
      </c>
      <c r="B31" s="1" t="s">
        <v>102</v>
      </c>
      <c r="C31" s="1" t="s">
        <v>104</v>
      </c>
      <c r="D31" s="1">
        <v>32</v>
      </c>
      <c r="E31" s="1">
        <v>4</v>
      </c>
      <c r="F31" s="7">
        <f>ROUNDDOWN(10/$B$4,0)+1</f>
        <v>4</v>
      </c>
      <c r="G31" s="1" t="str">
        <f>MOD(10,$B$4)+1&amp;" / factorial"</f>
        <v>2 / factorial</v>
      </c>
    </row>
    <row r="32" spans="1:7" ht="28" customHeight="1">
      <c r="A32" s="1" t="s">
        <v>114</v>
      </c>
      <c r="B32" s="1" t="s">
        <v>104</v>
      </c>
      <c r="C32" s="1" t="s">
        <v>102</v>
      </c>
      <c r="D32" s="1">
        <v>32</v>
      </c>
      <c r="E32" s="1">
        <v>4</v>
      </c>
      <c r="F32" s="7">
        <f>ROUNDDOWN(11/$B$4,0)+1</f>
        <v>4</v>
      </c>
      <c r="G32" s="1" t="str">
        <f>MOD(11,$B$4)+1&amp;" / factorial"</f>
        <v>3 / factorial</v>
      </c>
    </row>
    <row r="33" spans="1:7" ht="28" customHeight="1">
      <c r="A33" s="1" t="s">
        <v>115</v>
      </c>
      <c r="B33" s="1" t="s">
        <v>104</v>
      </c>
      <c r="C33" s="1" t="s">
        <v>104</v>
      </c>
      <c r="D33" s="1">
        <v>128</v>
      </c>
      <c r="E33" s="1">
        <v>4</v>
      </c>
      <c r="F33" s="7">
        <f>ROUNDDOWN(12/$B$4,0)+1</f>
        <v>5</v>
      </c>
      <c r="G33" s="1" t="str">
        <f>MOD(12,$B$4)+1&amp;" / factorial"</f>
        <v>1 / factorial</v>
      </c>
    </row>
    <row r="34" spans="1:7" ht="28" customHeight="1">
      <c r="A34" s="1" t="s">
        <v>116</v>
      </c>
      <c r="B34" s="1" t="s">
        <v>104</v>
      </c>
      <c r="C34" s="1" t="s">
        <v>104</v>
      </c>
      <c r="D34" s="1">
        <v>32</v>
      </c>
      <c r="E34" s="1">
        <v>4</v>
      </c>
      <c r="F34" s="7">
        <f>ROUNDDOWN(13/$B$4,0)+1</f>
        <v>5</v>
      </c>
      <c r="G34" s="1" t="str">
        <f>MOD(13,$B$4)+1&amp;" / factorial"</f>
        <v>2 / factorial</v>
      </c>
    </row>
    <row r="35" spans="1:7" ht="28" customHeight="1">
      <c r="A35" s="1" t="s">
        <v>117</v>
      </c>
      <c r="B35" s="1" t="s">
        <v>102</v>
      </c>
      <c r="C35" s="1" t="s">
        <v>104</v>
      </c>
      <c r="D35" s="1">
        <v>128</v>
      </c>
      <c r="E35" s="1">
        <v>4</v>
      </c>
      <c r="F35" s="7">
        <f>ROUNDDOWN(14/$B$4,0)+1</f>
        <v>5</v>
      </c>
      <c r="G35" s="1" t="str">
        <f>MOD(14,$B$4)+1&amp;" / factorial"</f>
        <v>3 / factorial</v>
      </c>
    </row>
    <row r="36" spans="1:7" ht="28" customHeight="1">
      <c r="A36" s="1" t="s">
        <v>118</v>
      </c>
      <c r="B36" s="1" t="s">
        <v>104</v>
      </c>
      <c r="C36" s="1" t="s">
        <v>102</v>
      </c>
      <c r="D36" s="1">
        <v>32</v>
      </c>
      <c r="E36" s="1">
        <v>16</v>
      </c>
      <c r="F36" s="7">
        <f>ROUNDDOWN(15/$B$4,0)+1</f>
        <v>6</v>
      </c>
      <c r="G36" s="1" t="str">
        <f>MOD(15,$B$4)+1&amp;" / factorial"</f>
        <v>1 / factorial</v>
      </c>
    </row>
    <row r="37" spans="1:7" ht="28" customHeight="1">
      <c r="A37" s="1" t="s">
        <v>119</v>
      </c>
      <c r="B37" s="1" t="s">
        <v>102</v>
      </c>
      <c r="C37" s="1" t="s">
        <v>102</v>
      </c>
      <c r="D37" s="1">
        <v>128</v>
      </c>
      <c r="E37" s="1">
        <v>4</v>
      </c>
      <c r="F37" s="7">
        <f>ROUNDDOWN(16/$B$4,0)+1</f>
        <v>6</v>
      </c>
      <c r="G37" s="1" t="str">
        <f>MOD(16,$B$4)+1&amp;" / factorial"</f>
        <v>2 / factorial</v>
      </c>
    </row>
    <row r="38" spans="1:7" ht="28" customHeight="1">
      <c r="A38" s="1" t="s">
        <v>120</v>
      </c>
      <c r="B38" s="1" t="s">
        <v>104</v>
      </c>
      <c r="C38" s="1" t="s">
        <v>104</v>
      </c>
      <c r="D38" s="1">
        <v>1</v>
      </c>
      <c r="E38" s="1">
        <v>1</v>
      </c>
      <c r="F38" s="7">
        <f>ROUNDDOWN(17/$B$4,0)+1</f>
        <v>6</v>
      </c>
      <c r="G38" s="1" t="str">
        <f>MOD(17,$B$4)+1&amp;" / serial reference"</f>
        <v>3 / serial reference</v>
      </c>
    </row>
    <row r="39" spans="1:7" ht="28" customHeight="1">
      <c r="A39" s="1" t="s">
        <v>121</v>
      </c>
      <c r="B39" s="1" t="s">
        <v>102</v>
      </c>
      <c r="C39" s="1" t="s">
        <v>102</v>
      </c>
      <c r="D39" s="1">
        <v>32</v>
      </c>
      <c r="E39" s="1">
        <v>16</v>
      </c>
      <c r="F39" s="7">
        <f>ROUNDDOWN(18/$B$4,0)+1</f>
        <v>7</v>
      </c>
      <c r="G39" s="1" t="str">
        <f>MOD(18,$B$4)+1&amp;" / factorial"</f>
        <v>1 / factorial</v>
      </c>
    </row>
    <row r="40" spans="1:7" ht="28" customHeight="1">
      <c r="A40" s="1" t="s">
        <v>122</v>
      </c>
      <c r="B40" s="1" t="s">
        <v>104</v>
      </c>
      <c r="C40" s="1" t="s">
        <v>104</v>
      </c>
      <c r="D40" s="1">
        <v>32</v>
      </c>
      <c r="E40" s="1">
        <v>16</v>
      </c>
      <c r="F40" s="7">
        <f>ROUNDDOWN(19/$B$4,0)+1</f>
        <v>7</v>
      </c>
      <c r="G40" s="1" t="str">
        <f>MOD(19,$B$4)+1&amp;" / factorial"</f>
        <v>2 / factorial</v>
      </c>
    </row>
  </sheetData>
  <autoFilter ref="A20:G40"/>
  <mergeCells count="2">
    <mergeCell ref="A1:G1"/>
    <mergeCell ref="A16:G17"/>
  </mergeCells>
  <dataValidations count="3">
    <dataValidation type="whole" allowBlank="1" showInputMessage="1" showErrorMessage="1" error="Enter a positive value within the stated bounds." sqref="B4">
      <formula1>1</formula1>
      <formula2>4</formula2>
    </dataValidation>
    <dataValidation type="whole" allowBlank="1" showInputMessage="1" showErrorMessage="1" sqref="B5">
      <formula1>0</formula1>
      <formula2>3</formula2>
    </dataValidation>
    <dataValidation type="decimal" allowBlank="1" showInputMessage="1" showErrorMessage="1" error="Enter a positive value within the stated bounds." sqref="B6">
      <formula1>1e-06</formula1>
      <formula2>48</formula2>
    </dataValidation>
  </dataValidations>
  <pageMargins left="0.7" right="0.7" top="0.75" bottom="0.75" header="0.3" footer="0.3"/>
  <pageSetup paperSize="9" scale="8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1" width="47.7109375" style="1" customWidth="1"/>
    <col min="2" max="3" width="25.7109375" style="1" customWidth="1"/>
    <col min="4" max="4" width="70.7109375" style="1" customWidth="1"/>
  </cols>
  <sheetData>
    <row r="1" spans="1:4" ht="34" customHeight="1">
      <c r="A1" s="2" t="s">
        <v>123</v>
      </c>
      <c r="B1" s="2"/>
      <c r="C1" s="2"/>
      <c r="D1" s="2"/>
    </row>
    <row r="3" spans="1:4" ht="28" customHeight="1">
      <c r="A3" s="3" t="s">
        <v>74</v>
      </c>
      <c r="B3" s="3" t="s">
        <v>27</v>
      </c>
      <c r="C3" s="3" t="s">
        <v>124</v>
      </c>
      <c r="D3" s="3" t="s">
        <v>125</v>
      </c>
    </row>
    <row r="4" spans="1:4" ht="48" customHeight="1">
      <c r="A4" s="1" t="s">
        <v>126</v>
      </c>
      <c r="B4" s="4"/>
      <c r="C4" s="1" t="s">
        <v>127</v>
      </c>
      <c r="D4" s="1" t="s">
        <v>128</v>
      </c>
    </row>
    <row r="5" spans="1:4" ht="48" customHeight="1">
      <c r="A5" s="1" t="s">
        <v>129</v>
      </c>
      <c r="B5" s="4">
        <v>10</v>
      </c>
      <c r="C5" s="1" t="s">
        <v>130</v>
      </c>
      <c r="D5" s="1" t="s">
        <v>131</v>
      </c>
    </row>
    <row r="6" spans="1:4" ht="48" customHeight="1">
      <c r="A6" s="1" t="s">
        <v>132</v>
      </c>
      <c r="B6" s="5">
        <v>0.8</v>
      </c>
      <c r="C6" s="1" t="s">
        <v>38</v>
      </c>
      <c r="D6" s="1" t="s">
        <v>133</v>
      </c>
    </row>
    <row r="7" spans="1:4" ht="48" customHeight="1">
      <c r="A7" s="1" t="s">
        <v>134</v>
      </c>
      <c r="B7" s="4">
        <v>2</v>
      </c>
      <c r="C7" s="1" t="s">
        <v>135</v>
      </c>
      <c r="D7" s="1" t="s">
        <v>136</v>
      </c>
    </row>
    <row r="9" spans="1:4" ht="28" customHeight="1">
      <c r="A9" s="3" t="s">
        <v>137</v>
      </c>
      <c r="B9" s="7" t="str">
        <f>IF(B4="","Await measurement",ROUNDDOWN(B4*B5*B6/B7,0))</f>
        <v>Await measurement</v>
      </c>
      <c r="D9" s="1" t="s">
        <v>138</v>
      </c>
    </row>
    <row r="11" spans="1:4" ht="28" customHeight="1">
      <c r="A11" s="3" t="s">
        <v>139</v>
      </c>
      <c r="B11" s="4">
        <v>64</v>
      </c>
    </row>
    <row r="12" spans="1:4" ht="28" customHeight="1">
      <c r="A12" s="1" t="s">
        <v>140</v>
      </c>
      <c r="B12" s="6">
        <f>B11*B7/(B5*B6)</f>
        <v>16</v>
      </c>
      <c r="C12" s="1" t="s">
        <v>127</v>
      </c>
    </row>
    <row r="13" spans="1:4" ht="28" customHeight="1">
      <c r="A13" s="1" t="s">
        <v>141</v>
      </c>
      <c r="B13" s="6" t="str">
        <f>IF(B4="","Await measurement",B11*B7/(B4*B6))</f>
        <v>Await measurement</v>
      </c>
      <c r="C13" s="1" t="s">
        <v>142</v>
      </c>
    </row>
    <row r="15" spans="1:4" ht="28" customHeight="1">
      <c r="A15" s="1" t="s">
        <v>143</v>
      </c>
      <c r="B15" s="1"/>
      <c r="C15" s="1"/>
      <c r="D15" s="1"/>
    </row>
    <row r="16" spans="1:4" ht="28" customHeight="1">
      <c r="A16" s="1"/>
      <c r="B16" s="1"/>
      <c r="C16" s="1"/>
      <c r="D16" s="1"/>
    </row>
    <row r="19" spans="1:4" ht="28" customHeight="1">
      <c r="A19" s="3" t="s">
        <v>144</v>
      </c>
      <c r="B19" s="3" t="s">
        <v>145</v>
      </c>
      <c r="C19" s="3" t="s">
        <v>3</v>
      </c>
      <c r="D19" s="3" t="s">
        <v>29</v>
      </c>
    </row>
    <row r="20" spans="1:4" ht="28" customHeight="1">
      <c r="A20" s="4">
        <v>2</v>
      </c>
      <c r="B20" s="7">
        <f>ROUNDDOWN(A20*$B$5*$B$6/$B$7,0)</f>
        <v>8</v>
      </c>
      <c r="C20" s="1" t="s">
        <v>146</v>
      </c>
      <c r="D20" s="1" t="s">
        <v>147</v>
      </c>
    </row>
    <row r="21" spans="1:4" ht="28" customHeight="1">
      <c r="A21" s="4">
        <v>8</v>
      </c>
      <c r="B21" s="7">
        <f>ROUNDDOWN(A21*$B$5*$B$6/$B$7,0)</f>
        <v>32</v>
      </c>
      <c r="C21" s="1" t="s">
        <v>146</v>
      </c>
      <c r="D21" s="1" t="s">
        <v>147</v>
      </c>
    </row>
    <row r="22" spans="1:4" ht="28" customHeight="1">
      <c r="A22" s="4">
        <v>32</v>
      </c>
      <c r="B22" s="7">
        <f>ROUNDDOWN(A22*$B$5*$B$6/$B$7,0)</f>
        <v>128</v>
      </c>
      <c r="C22" s="1" t="s">
        <v>146</v>
      </c>
      <c r="D22" s="1" t="s">
        <v>147</v>
      </c>
    </row>
  </sheetData>
  <mergeCells count="2">
    <mergeCell ref="A1:D1"/>
    <mergeCell ref="A15:D16"/>
  </mergeCells>
  <dataValidations count="5">
    <dataValidation type="decimal" allowBlank="1" showInputMessage="1" showErrorMessage="1" error="Enter a positive value within the stated bounds." sqref="B4:B5">
      <formula1>1e-06</formula1>
      <formula2>1000000000.0</formula2>
    </dataValidation>
    <dataValidation type="decimal" allowBlank="1" showInputMessage="1" showErrorMessage="1" error="Enter a positive value within the stated bounds." sqref="B7">
      <formula1>1e-06</formula1>
      <formula2>1000000000.0</formula2>
    </dataValidation>
    <dataValidation type="decimal" allowBlank="1" showInputMessage="1" showErrorMessage="1" sqref="B6">
      <formula1>1e-06</formula1>
      <formula2>1</formula2>
    </dataValidation>
    <dataValidation type="whole" allowBlank="1" showInputMessage="1" showErrorMessage="1" error="Enter a positive value within the stated bounds." sqref="B11">
      <formula1>1</formula1>
      <formula2>1000000000.0</formula2>
    </dataValidation>
    <dataValidation type="decimal" allowBlank="1" showInputMessage="1" showErrorMessage="1" error="Enter a positive value within the stated bounds." sqref="A20:A22">
      <formula1>1e-06</formula1>
      <formula2>1000000000.0</formula2>
    </dataValidation>
  </dataValidations>
  <pageMargins left="0.7" right="0.7" top="0.75" bottom="0.75" header="0.3" footer="0.3"/>
  <pageSetup paperSize="9" scale="8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1" width="47.7109375" style="1" customWidth="1"/>
    <col min="2" max="2" width="25.7109375" style="1" customWidth="1"/>
    <col min="3" max="3" width="26.7109375" style="1" customWidth="1"/>
    <col min="4" max="4" width="68.7109375" style="1" customWidth="1"/>
  </cols>
  <sheetData>
    <row r="1" spans="1:4" ht="34" customHeight="1">
      <c r="A1" s="2" t="s">
        <v>148</v>
      </c>
      <c r="B1" s="2"/>
      <c r="C1" s="2"/>
      <c r="D1" s="2"/>
    </row>
    <row r="3" spans="1:4" ht="28" customHeight="1">
      <c r="A3" s="3" t="s">
        <v>26</v>
      </c>
      <c r="B3" s="3" t="s">
        <v>27</v>
      </c>
      <c r="C3" s="3" t="s">
        <v>28</v>
      </c>
      <c r="D3" s="3" t="s">
        <v>149</v>
      </c>
    </row>
    <row r="4" spans="1:4" ht="42" customHeight="1">
      <c r="A4" s="1" t="s">
        <v>150</v>
      </c>
      <c r="B4" s="4">
        <v>8</v>
      </c>
      <c r="C4" s="1" t="s">
        <v>151</v>
      </c>
      <c r="D4" s="1" t="s">
        <v>152</v>
      </c>
    </row>
    <row r="5" spans="1:4" ht="42" customHeight="1">
      <c r="A5" s="1" t="s">
        <v>153</v>
      </c>
      <c r="B5" s="4">
        <v>16</v>
      </c>
      <c r="C5" s="1" t="s">
        <v>154</v>
      </c>
      <c r="D5" s="1" t="s">
        <v>155</v>
      </c>
    </row>
    <row r="6" spans="1:4" ht="42" customHeight="1">
      <c r="A6" s="1" t="s">
        <v>156</v>
      </c>
      <c r="B6" s="4">
        <v>32</v>
      </c>
      <c r="C6" s="1" t="s">
        <v>157</v>
      </c>
      <c r="D6" s="1" t="s">
        <v>158</v>
      </c>
    </row>
    <row r="7" spans="1:4" ht="42" customHeight="1">
      <c r="A7" s="1" t="s">
        <v>159</v>
      </c>
      <c r="B7" s="4">
        <v>8</v>
      </c>
      <c r="C7" s="1" t="s">
        <v>160</v>
      </c>
      <c r="D7" s="1" t="s">
        <v>161</v>
      </c>
    </row>
    <row r="8" spans="1:4" ht="42" customHeight="1">
      <c r="A8" s="1" t="s">
        <v>162</v>
      </c>
      <c r="B8" s="4">
        <v>128</v>
      </c>
      <c r="C8" s="1" t="s">
        <v>163</v>
      </c>
      <c r="D8" s="1" t="s">
        <v>164</v>
      </c>
    </row>
    <row r="9" spans="1:4" ht="42" customHeight="1">
      <c r="A9" s="1" t="s">
        <v>165</v>
      </c>
      <c r="B9" s="4">
        <v>2</v>
      </c>
      <c r="C9" s="1" t="s">
        <v>166</v>
      </c>
      <c r="D9" s="1" t="s">
        <v>167</v>
      </c>
    </row>
    <row r="10" spans="1:4" ht="42" customHeight="1">
      <c r="A10" s="1" t="s">
        <v>168</v>
      </c>
      <c r="B10" s="4">
        <v>8192</v>
      </c>
      <c r="C10" s="1" t="s">
        <v>169</v>
      </c>
      <c r="D10" s="1" t="s">
        <v>170</v>
      </c>
    </row>
    <row r="11" spans="1:4" ht="42" customHeight="1">
      <c r="A11" s="1" t="s">
        <v>171</v>
      </c>
      <c r="B11" s="4">
        <v>4</v>
      </c>
      <c r="C11" s="1" t="s">
        <v>172</v>
      </c>
      <c r="D11" s="1" t="s">
        <v>173</v>
      </c>
    </row>
    <row r="12" spans="1:4" ht="42" customHeight="1">
      <c r="A12" s="1" t="s">
        <v>174</v>
      </c>
      <c r="B12" s="4"/>
      <c r="C12" s="1" t="s">
        <v>172</v>
      </c>
      <c r="D12" s="1" t="s">
        <v>175</v>
      </c>
    </row>
    <row r="13" spans="1:4" ht="42" customHeight="1">
      <c r="A13" s="1" t="s">
        <v>176</v>
      </c>
      <c r="B13" s="5">
        <v>0.2</v>
      </c>
      <c r="C13" s="1" t="s">
        <v>38</v>
      </c>
      <c r="D13" s="1" t="s">
        <v>177</v>
      </c>
    </row>
    <row r="15" spans="1:4" ht="28" customHeight="1">
      <c r="A15" s="1" t="s">
        <v>178</v>
      </c>
      <c r="B15" s="6">
        <f>B4*1000000000*B5/8/POWER(2,30)</f>
        <v>14.901161193847656</v>
      </c>
      <c r="C15" s="1" t="s">
        <v>172</v>
      </c>
    </row>
    <row r="16" spans="1:4" ht="28" customHeight="1">
      <c r="A16" s="1" t="s">
        <v>179</v>
      </c>
      <c r="B16" s="6">
        <f>2*B6*B7*B8*B9*B10/POWER(2,30)</f>
        <v>1</v>
      </c>
      <c r="C16" s="1" t="s">
        <v>180</v>
      </c>
    </row>
    <row r="17" spans="1:4" ht="28" customHeight="1">
      <c r="A17" s="3" t="s">
        <v>181</v>
      </c>
      <c r="B17" s="7" t="str">
        <f>IF(B12="","Await measurement",MAX(0,ROUNDDOWN((B12*(1-B13)-B15-B11)/B16,0)))</f>
        <v>Await measurement</v>
      </c>
      <c r="D17" s="1" t="s">
        <v>182</v>
      </c>
    </row>
    <row r="20" spans="1:4" ht="28" customHeight="1">
      <c r="A20" s="1" t="s">
        <v>183</v>
      </c>
      <c r="B20" s="1"/>
      <c r="C20" s="1"/>
      <c r="D20" s="1"/>
    </row>
    <row r="21" spans="1:4" ht="28" customHeight="1">
      <c r="A21" s="1"/>
      <c r="B21" s="1"/>
      <c r="C21" s="1"/>
      <c r="D21" s="1"/>
    </row>
    <row r="22" spans="1:4" ht="28" customHeight="1">
      <c r="A22" s="1"/>
      <c r="B22" s="1"/>
      <c r="C22" s="1"/>
      <c r="D22" s="1"/>
    </row>
  </sheetData>
  <mergeCells count="2">
    <mergeCell ref="A1:D1"/>
    <mergeCell ref="A20:D22"/>
  </mergeCells>
  <dataValidations count="2">
    <dataValidation type="decimal" allowBlank="1" showInputMessage="1" showErrorMessage="1" error="Enter a positive value within the stated bounds." sqref="B4:B12">
      <formula1>1e-06</formula1>
      <formula2>1000000000.0</formula2>
    </dataValidation>
    <dataValidation type="decimal" allowBlank="1" showInputMessage="1" showErrorMessage="1" sqref="B13">
      <formula1>0</formula1>
      <formula2>0.95</formula2>
    </dataValidation>
  </dataValidations>
  <pageMargins left="0.7" right="0.7" top="0.75" bottom="0.75" header="0.3" footer="0.3"/>
  <pageSetup paperSize="9" scale="8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8" customHeight="1"/>
  <cols>
    <col min="1" max="1" width="12.7109375" style="1" customWidth="1"/>
    <col min="2" max="2" width="30.7109375" style="1" customWidth="1"/>
    <col min="3" max="3" width="53.7109375" style="1" customWidth="1"/>
    <col min="4" max="4" width="28.7109375" style="1" customWidth="1"/>
    <col min="5" max="5" width="76.7109375" style="1" customWidth="1"/>
    <col min="6" max="6" width="49.7109375" style="1" customWidth="1"/>
  </cols>
  <sheetData>
    <row r="1" spans="1:6" ht="34" customHeight="1">
      <c r="A1" s="2" t="s">
        <v>184</v>
      </c>
      <c r="B1" s="2"/>
      <c r="C1" s="2"/>
      <c r="D1" s="2"/>
      <c r="E1" s="2"/>
      <c r="F1" s="2"/>
    </row>
    <row r="3" spans="1:6" ht="28" customHeight="1">
      <c r="A3" s="3" t="s">
        <v>185</v>
      </c>
      <c r="B3" s="3" t="s">
        <v>186</v>
      </c>
      <c r="C3" s="3" t="s">
        <v>187</v>
      </c>
      <c r="D3" s="3" t="s">
        <v>188</v>
      </c>
      <c r="E3" s="3" t="s">
        <v>189</v>
      </c>
      <c r="F3" s="3" t="s">
        <v>190</v>
      </c>
    </row>
    <row r="4" spans="1:6" ht="78" customHeight="1">
      <c r="A4" s="1" t="s">
        <v>191</v>
      </c>
      <c r="B4" s="1" t="s">
        <v>192</v>
      </c>
      <c r="C4" s="1" t="s">
        <v>193</v>
      </c>
      <c r="D4" s="1" t="s">
        <v>194</v>
      </c>
      <c r="E4" s="8" t="s">
        <v>195</v>
      </c>
      <c r="F4" s="1" t="s">
        <v>196</v>
      </c>
    </row>
    <row r="5" spans="1:6" ht="78" customHeight="1">
      <c r="A5" s="1" t="s">
        <v>197</v>
      </c>
      <c r="B5" s="1" t="s">
        <v>198</v>
      </c>
      <c r="C5" s="1" t="s">
        <v>199</v>
      </c>
      <c r="D5" s="1" t="s">
        <v>200</v>
      </c>
      <c r="E5" s="1" t="s">
        <v>201</v>
      </c>
      <c r="F5" s="1" t="s">
        <v>202</v>
      </c>
    </row>
    <row r="6" spans="1:6" ht="78" customHeight="1">
      <c r="A6" s="1" t="s">
        <v>203</v>
      </c>
      <c r="B6" s="1" t="s">
        <v>204</v>
      </c>
      <c r="C6" s="1" t="s">
        <v>205</v>
      </c>
      <c r="D6" s="1" t="s">
        <v>206</v>
      </c>
      <c r="E6" s="8" t="s">
        <v>207</v>
      </c>
      <c r="F6" s="1" t="s">
        <v>208</v>
      </c>
    </row>
    <row r="7" spans="1:6" ht="78" customHeight="1">
      <c r="A7" s="1" t="s">
        <v>209</v>
      </c>
      <c r="B7" s="1" t="s">
        <v>210</v>
      </c>
      <c r="C7" s="1" t="s">
        <v>211</v>
      </c>
      <c r="D7" s="1" t="s">
        <v>212</v>
      </c>
      <c r="E7" s="8" t="s">
        <v>213</v>
      </c>
      <c r="F7" s="1" t="s">
        <v>214</v>
      </c>
    </row>
    <row r="8" spans="1:6" ht="78" customHeight="1">
      <c r="A8" s="1" t="s">
        <v>215</v>
      </c>
      <c r="B8" s="1" t="s">
        <v>216</v>
      </c>
      <c r="C8" s="1" t="s">
        <v>217</v>
      </c>
      <c r="D8" s="1" t="s">
        <v>218</v>
      </c>
      <c r="E8" s="8" t="s">
        <v>219</v>
      </c>
      <c r="F8" s="1" t="s">
        <v>220</v>
      </c>
    </row>
    <row r="9" spans="1:6" ht="78" customHeight="1">
      <c r="A9" s="1" t="s">
        <v>221</v>
      </c>
      <c r="B9" s="1" t="s">
        <v>222</v>
      </c>
      <c r="C9" s="1" t="s">
        <v>223</v>
      </c>
      <c r="D9" s="1" t="s">
        <v>194</v>
      </c>
      <c r="E9" s="8" t="s">
        <v>224</v>
      </c>
      <c r="F9" s="1" t="s">
        <v>225</v>
      </c>
    </row>
  </sheetData>
  <autoFilter ref="A3:F9"/>
  <mergeCells count="1">
    <mergeCell ref="A1:F1"/>
  </mergeCells>
  <hyperlinks>
    <hyperlink ref="E4" r:id="rId1"/>
    <hyperlink ref="E6" r:id="rId2"/>
    <hyperlink ref="E7" r:id="rId3"/>
    <hyperlink ref="E8" r:id="rId4"/>
    <hyperlink ref="E9" r:id="rId5"/>
  </hyperlinks>
  <pageMargins left="0.7" right="0.7" top="0.75" bottom="0.75" header="0.3" footer="0.3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Run budget</vt:lpstr>
      <vt:lpstr>Parallel screen</vt:lpstr>
      <vt:lpstr>Agent cadence</vt:lpstr>
      <vt:lpstr>Memory fit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Stampede3 community capacity</dc:title>
  <dc:creator/>
  <dc:description>Planning assumptions; no measured throughput.</dc:description>
  <cp:lastModifiedBy/>
  <dcterms:created xsi:type="dcterms:W3CDTF">2026-09-12T14:39:41Z</dcterms:created>
  <dcterms:modified xsi:type="dcterms:W3CDTF">2026-09-12T14:39:41Z</dcterms:modified>
</cp:coreProperties>
</file>